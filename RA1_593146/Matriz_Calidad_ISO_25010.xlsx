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de Calidad" sheetId="1" state="visible" r:id="rId1"/>
    <sheet xmlns:r="http://schemas.openxmlformats.org/officeDocument/2006/relationships" name="Adecuación Funcional" sheetId="2" state="visible" r:id="rId2"/>
    <sheet xmlns:r="http://schemas.openxmlformats.org/officeDocument/2006/relationships" name="Eficiencia de Rendimiento" sheetId="3" state="visible" r:id="rId3"/>
    <sheet xmlns:r="http://schemas.openxmlformats.org/officeDocument/2006/relationships" name="Compatibilidad" sheetId="4" state="visible" r:id="rId4"/>
    <sheet xmlns:r="http://schemas.openxmlformats.org/officeDocument/2006/relationships" name="Usabilidad" sheetId="5" state="visible" r:id="rId5"/>
    <sheet xmlns:r="http://schemas.openxmlformats.org/officeDocument/2006/relationships" name="Fiabilidad" sheetId="6" state="visible" r:id="rId6"/>
    <sheet xmlns:r="http://schemas.openxmlformats.org/officeDocument/2006/relationships" name="Seguridad" sheetId="7" state="visible" r:id="rId7"/>
    <sheet xmlns:r="http://schemas.openxmlformats.org/officeDocument/2006/relationships" name="Mantenibilidad" sheetId="8" state="visible" r:id="rId8"/>
    <sheet xmlns:r="http://schemas.openxmlformats.org/officeDocument/2006/relationships" name="Portabilidad" sheetId="9" state="visible" r:id="rId9"/>
    <sheet xmlns:r="http://schemas.openxmlformats.org/officeDocument/2006/relationships" name="Banco de Pregunt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2C5234"/>
        <bgColor rgb="002C5234"/>
      </patternFill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60" customWidth="1" min="2" max="2"/>
    <col width="49" customWidth="1" min="3" max="3"/>
    <col width="60" customWidth="1" min="4" max="4"/>
    <col width="26" customWidth="1" min="5" max="5"/>
  </cols>
  <sheetData>
    <row r="1"/>
    <row r="2">
      <c r="B2" s="1" t="inlineStr">
        <is>
          <t>CONSOLIDADO DE EVALUACIÓN - ISO/IEC 25010</t>
        </is>
      </c>
    </row>
    <row r="3">
      <c r="B3" s="2" t="inlineStr">
        <is>
          <t>Resumen general del porcentaje de calidad del software evaluado.</t>
        </is>
      </c>
    </row>
    <row r="4"/>
    <row r="5">
      <c r="B5" s="3" t="inlineStr">
        <is>
          <t>Característica de Calidad</t>
        </is>
      </c>
      <c r="C5" s="3" t="inlineStr">
        <is>
          <t>Puntaje Máximo Posible</t>
        </is>
      </c>
      <c r="D5" s="3" t="inlineStr">
        <is>
          <t>Puntaje Obtenido</t>
        </is>
      </c>
      <c r="E5" s="3" t="inlineStr">
        <is>
          <t>Porcentaje de Calidad</t>
        </is>
      </c>
    </row>
    <row r="6">
      <c r="B6" s="4" t="inlineStr">
        <is>
          <t>Adecuación Funcional</t>
        </is>
      </c>
      <c r="C6" s="5">
        <f>SUM('Adecuación Funcional'!$E$6:$E$8)*5</f>
        <v/>
      </c>
      <c r="D6" s="5">
        <f>SUMPRODUCT('Adecuación Funcional'!$E$6:$E$8,'Adecuación Funcional'!$F$6:$F$8)</f>
        <v/>
      </c>
      <c r="E6" s="6">
        <f>IF(C6&gt;0, D6/C6, 0)</f>
        <v/>
      </c>
    </row>
    <row r="7">
      <c r="B7" s="4" t="inlineStr">
        <is>
          <t>Eficiencia de Rendimiento</t>
        </is>
      </c>
      <c r="C7" s="5">
        <f>SUM('Eficiencia de Rendimiento'!$E$6:$E$8)*5</f>
        <v/>
      </c>
      <c r="D7" s="5">
        <f>SUMPRODUCT('Eficiencia de Rendimiento'!$E$6:$E$8,'Eficiencia de Rendimiento'!$F$6:$F$8)</f>
        <v/>
      </c>
      <c r="E7" s="6">
        <f>IF(C7&gt;0, D7/C7, 0)</f>
        <v/>
      </c>
    </row>
    <row r="8">
      <c r="B8" s="4" t="inlineStr">
        <is>
          <t>Compatibilidad</t>
        </is>
      </c>
      <c r="C8" s="5">
        <f>SUM('Compatibilidad'!$E$6:$E$7)*5</f>
        <v/>
      </c>
      <c r="D8" s="5">
        <f>SUMPRODUCT('Compatibilidad'!$E$6:$E$7,'Compatibilidad'!$F$6:$F$7)</f>
        <v/>
      </c>
      <c r="E8" s="6">
        <f>IF(C8&gt;0, D8/C8, 0)</f>
        <v/>
      </c>
    </row>
    <row r="9">
      <c r="B9" s="4" t="inlineStr">
        <is>
          <t>Usabilidad</t>
        </is>
      </c>
      <c r="C9" s="5">
        <f>SUM('Usabilidad'!$E$6:$E$11)*5</f>
        <v/>
      </c>
      <c r="D9" s="5">
        <f>SUMPRODUCT('Usabilidad'!$E$6:$E$11,'Usabilidad'!$F$6:$F$11)</f>
        <v/>
      </c>
      <c r="E9" s="6">
        <f>IF(C9&gt;0, D9/C9, 0)</f>
        <v/>
      </c>
    </row>
    <row r="10">
      <c r="B10" s="4" t="inlineStr">
        <is>
          <t>Fiabilidad</t>
        </is>
      </c>
      <c r="C10" s="5">
        <f>SUM('Fiabilidad'!$E$6:$E$9)*5</f>
        <v/>
      </c>
      <c r="D10" s="5">
        <f>SUMPRODUCT('Fiabilidad'!$E$6:$E$9,'Fiabilidad'!$F$6:$F$9)</f>
        <v/>
      </c>
      <c r="E10" s="6">
        <f>IF(C10&gt;0, D10/C10, 0)</f>
        <v/>
      </c>
    </row>
    <row r="11">
      <c r="B11" s="4" t="inlineStr">
        <is>
          <t>Seguridad</t>
        </is>
      </c>
      <c r="C11" s="5">
        <f>SUM('Seguridad'!$E$6:$E$10)*5</f>
        <v/>
      </c>
      <c r="D11" s="5">
        <f>SUMPRODUCT('Seguridad'!$E$6:$E$10,'Seguridad'!$F$6:$F$10)</f>
        <v/>
      </c>
      <c r="E11" s="6">
        <f>IF(C11&gt;0, D11/C11, 0)</f>
        <v/>
      </c>
    </row>
    <row r="12">
      <c r="B12" s="4" t="inlineStr">
        <is>
          <t>Mantenibilidad</t>
        </is>
      </c>
      <c r="C12" s="5">
        <f>SUM('Mantenibilidad'!$E$6:$E$10)*5</f>
        <v/>
      </c>
      <c r="D12" s="5">
        <f>SUMPRODUCT('Mantenibilidad'!$E$6:$E$10,'Mantenibilidad'!$F$6:$F$10)</f>
        <v/>
      </c>
      <c r="E12" s="6">
        <f>IF(C12&gt;0, D12/C12, 0)</f>
        <v/>
      </c>
    </row>
    <row r="13">
      <c r="B13" s="4" t="inlineStr">
        <is>
          <t>Portabilidad</t>
        </is>
      </c>
      <c r="C13" s="5">
        <f>SUM('Portabilidad'!$E$6:$E$8)*5</f>
        <v/>
      </c>
      <c r="D13" s="5">
        <f>SUMPRODUCT('Portabilidad'!$E$6:$E$8,'Portabilidad'!$F$6:$F$8)</f>
        <v/>
      </c>
      <c r="E13" s="6">
        <f>IF(C13&gt;0, D13/C13, 0)</f>
        <v/>
      </c>
    </row>
    <row r="14">
      <c r="B14" s="7" t="inlineStr">
        <is>
          <t>PORCENTAJE TOTAL DE CALIDAD DEL SOFTWARE</t>
        </is>
      </c>
      <c r="C14" s="3">
        <f>SUM(C6:C13)</f>
        <v/>
      </c>
      <c r="D14" s="3">
        <f>SUM(D6:D13)</f>
        <v/>
      </c>
      <c r="E14" s="8">
        <f>IF(C14&gt;0, D14/C14,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4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ADECUACIÓN FUNCIONAL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FUNC_COMP_01</t>
        </is>
      </c>
      <c r="C6" s="12" t="inlineStr">
        <is>
          <t>Completo funcional</t>
        </is>
      </c>
      <c r="D6" s="13" t="inlineStr">
        <is>
          <t>El sistema permite realizar todo el flujo de ventas desde el registro hasta la facturación sin omitir pasos críticos.</t>
        </is>
      </c>
      <c r="E6" s="14" t="n">
        <v>5</v>
      </c>
      <c r="F6" s="14" t="n">
        <v>4</v>
      </c>
      <c r="G6" s="15" t="inlineStr">
        <is>
          <t>Evidenciado en RF, casos de uso y módulos implementados.</t>
        </is>
      </c>
    </row>
    <row r="7">
      <c r="B7" s="11" t="inlineStr">
        <is>
          <t>FUNC_CORR_01</t>
        </is>
      </c>
      <c r="C7" s="12" t="inlineStr">
        <is>
          <t>Corrección funcional</t>
        </is>
      </c>
      <c r="D7" s="13" t="inlineStr">
        <is>
          <t>Los cálculos de impuestos y descuentos en el carrito de compras son exactos según las reglas de negocio.</t>
        </is>
      </c>
      <c r="E7" s="14" t="n">
        <v>5</v>
      </c>
      <c r="F7" s="14" t="n">
        <v>4</v>
      </c>
      <c r="G7" s="15" t="inlineStr">
        <is>
          <t>Evidenciado en RF, casos de uso y módulos implementados.</t>
        </is>
      </c>
    </row>
    <row r="8">
      <c r="B8" s="11" t="inlineStr">
        <is>
          <t>FUNC_PERT_01</t>
        </is>
      </c>
      <c r="C8" s="12" t="inlineStr">
        <is>
          <t>Pertinencia funcional</t>
        </is>
      </c>
      <c r="D8" s="13" t="inlineStr">
        <is>
          <t>Las opciones del menú corresponden estrictamente a las tareas que el usuario necesita realizar en su rol.</t>
        </is>
      </c>
      <c r="E8" s="14" t="n">
        <v>5</v>
      </c>
      <c r="F8" s="14" t="n">
        <v>4</v>
      </c>
      <c r="G8" s="15" t="inlineStr">
        <is>
          <t>Evidenciado en RF, casos de uso y módulos implementados.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6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EFICIENCIA DE RENDIMIENTO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REND_TEMP_01</t>
        </is>
      </c>
      <c r="C6" s="12" t="inlineStr">
        <is>
          <t>Comportamiento temporal</t>
        </is>
      </c>
      <c r="D6" s="13" t="inlineStr">
        <is>
          <t>El tiempo de respuesta del sistema al cargar la página de inicio es inferior a 2 segundos bajo carga normal.</t>
        </is>
      </c>
      <c r="E6" s="14" t="n">
        <v>5</v>
      </c>
      <c r="F6" s="14" t="n">
        <v>4</v>
      </c>
      <c r="G6" s="15" t="inlineStr">
        <is>
          <t>Pruebas funcionales en Postman; pendientes pruebas de carga.</t>
        </is>
      </c>
    </row>
    <row r="7">
      <c r="B7" s="11" t="inlineStr">
        <is>
          <t>REND_UTIL_01</t>
        </is>
      </c>
      <c r="C7" s="12" t="inlineStr">
        <is>
          <t>Utilización de recursos</t>
        </is>
      </c>
      <c r="D7" s="13" t="inlineStr">
        <is>
          <t>El consumo de memoria RAM del servidor no supera el 60% durante la generación de reportes masivos.</t>
        </is>
      </c>
      <c r="E7" s="14" t="n">
        <v>5</v>
      </c>
      <c r="F7" s="14" t="n">
        <v>4</v>
      </c>
      <c r="G7" s="15" t="inlineStr">
        <is>
          <t>Pruebas funcionales en Postman; pendientes pruebas de carga.</t>
        </is>
      </c>
    </row>
    <row r="8">
      <c r="B8" s="11" t="inlineStr">
        <is>
          <t>REND_CAPA_01</t>
        </is>
      </c>
      <c r="C8" s="12" t="inlineStr">
        <is>
          <t>Capacidad</t>
        </is>
      </c>
      <c r="D8" s="13" t="inlineStr">
        <is>
          <t>El sistema procesa correctamente 500 transacciones simultáneas sin degradar el servicio.</t>
        </is>
      </c>
      <c r="E8" s="14" t="n">
        <v>5</v>
      </c>
      <c r="F8" s="14" t="n">
        <v>4</v>
      </c>
      <c r="G8" s="15" t="inlineStr">
        <is>
          <t>Pruebas funcionales en Postman; pendientes pruebas de carga.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COMPATIBILIDAD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COMP_COEX_01</t>
        </is>
      </c>
      <c r="C6" s="12" t="inlineStr">
        <is>
          <t>Coexistencia</t>
        </is>
      </c>
      <c r="D6" s="13" t="inlineStr">
        <is>
          <t>La aplicación móvil funciona sin interferencias en dispositivos donde están instaladas apps de la competencia.</t>
        </is>
      </c>
      <c r="E6" s="14" t="n">
        <v>5</v>
      </c>
      <c r="F6" s="14" t="n">
        <v>4</v>
      </c>
      <c r="G6" s="15" t="inlineStr">
        <is>
          <t>API REST consumida por React y aplicación Android (Kotlin).</t>
        </is>
      </c>
    </row>
    <row r="7">
      <c r="B7" s="11" t="inlineStr">
        <is>
          <t>COMP_INTE_01</t>
        </is>
      </c>
      <c r="C7" s="12" t="inlineStr">
        <is>
          <t>Interoperabilidad</t>
        </is>
      </c>
      <c r="D7" s="13" t="inlineStr">
        <is>
          <t>La API del sistema se integra y comparte datos correctamente con el módulo de contabilidad externo mediante JSON.</t>
        </is>
      </c>
      <c r="E7" s="14" t="n">
        <v>5</v>
      </c>
      <c r="F7" s="14" t="n">
        <v>4</v>
      </c>
      <c r="G7" s="15" t="inlineStr">
        <is>
          <t>API REST consumida por React y aplicación Android (Kotlin).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39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USABILIDAD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USAB_RECO_01</t>
        </is>
      </c>
      <c r="C6" s="12" t="inlineStr">
        <is>
          <t>Reconocimiento de adecuación</t>
        </is>
      </c>
      <c r="D6" s="13" t="inlineStr">
        <is>
          <t>El usuario identifica el propósito de la pantalla web en los primeros 5 segundos de visualización.</t>
        </is>
      </c>
      <c r="E6" s="14" t="n">
        <v>5</v>
      </c>
      <c r="F6" s="14" t="n">
        <v>4</v>
      </c>
      <c r="G6" s="15" t="inlineStr">
        <is>
          <t>Interfaz intuitiva; mejoras pendientes de accesibilidad.</t>
        </is>
      </c>
    </row>
    <row r="7">
      <c r="B7" s="11" t="inlineStr">
        <is>
          <t>USAB_APRE_01</t>
        </is>
      </c>
      <c r="C7" s="12" t="inlineStr">
        <is>
          <t>Aprendizaje</t>
        </is>
      </c>
      <c r="D7" s="13" t="inlineStr">
        <is>
          <t>Un usuario nuevo puede completar un registro de perfil sin necesidad de consultar un manual de ayuda.</t>
        </is>
      </c>
      <c r="E7" s="14" t="n">
        <v>5</v>
      </c>
      <c r="F7" s="14" t="n">
        <v>4</v>
      </c>
      <c r="G7" s="15" t="inlineStr">
        <is>
          <t>Interfaz intuitiva; mejoras pendientes de accesibilidad.</t>
        </is>
      </c>
    </row>
    <row r="8">
      <c r="B8" s="11" t="inlineStr">
        <is>
          <t>USAB_OPER_01</t>
        </is>
      </c>
      <c r="C8" s="12" t="inlineStr">
        <is>
          <t>Operabilidad</t>
        </is>
      </c>
      <c r="D8" s="13" t="inlineStr">
        <is>
          <t>El sistema ofrece atajos de teclado para las funciones más frecuentes, facilitando el trabajo continuo.</t>
        </is>
      </c>
      <c r="E8" s="14" t="n">
        <v>5</v>
      </c>
      <c r="F8" s="14" t="n">
        <v>4</v>
      </c>
      <c r="G8" s="15" t="inlineStr">
        <is>
          <t>Interfaz intuitiva; mejoras pendientes de accesibilidad.</t>
        </is>
      </c>
    </row>
    <row r="9">
      <c r="B9" s="11" t="inlineStr">
        <is>
          <t>USAB_PROT_01</t>
        </is>
      </c>
      <c r="C9" s="12" t="inlineStr">
        <is>
          <t>Protección contra errores de usuario</t>
        </is>
      </c>
      <c r="D9" s="13" t="inlineStr">
        <is>
          <t>El sistema pide confirmación antes de eliminar permanentemente un registro de la base de datos.</t>
        </is>
      </c>
      <c r="E9" s="14" t="n">
        <v>5</v>
      </c>
      <c r="F9" s="14" t="n">
        <v>4</v>
      </c>
      <c r="G9" s="15" t="inlineStr">
        <is>
          <t>Interfaz intuitiva; mejoras pendientes de accesibilidad.</t>
        </is>
      </c>
    </row>
    <row r="10">
      <c r="B10" s="11" t="inlineStr">
        <is>
          <t>USAB_ESTE_01</t>
        </is>
      </c>
      <c r="C10" s="12" t="inlineStr">
        <is>
          <t>Estética de la interfaz de usuario</t>
        </is>
      </c>
      <c r="D10" s="13" t="inlineStr">
        <is>
          <t>El diseño visual mantiene una paleta de colores coherente y un espaciado que evita la fatiga visual.</t>
        </is>
      </c>
      <c r="E10" s="14" t="n">
        <v>5</v>
      </c>
      <c r="F10" s="14" t="n">
        <v>4</v>
      </c>
      <c r="G10" s="15" t="inlineStr">
        <is>
          <t>Interfaz intuitiva; mejoras pendientes de accesibilidad.</t>
        </is>
      </c>
    </row>
    <row r="11">
      <c r="B11" s="11" t="inlineStr">
        <is>
          <t>USAB_ACCE_01</t>
        </is>
      </c>
      <c r="C11" s="12" t="inlineStr">
        <is>
          <t>Accesibilidad</t>
        </is>
      </c>
      <c r="D11" s="13" t="inlineStr">
        <is>
          <t>El sitio web cumple con las pautas WCAG, permitiendo la navegación con lectores de pantalla para personas visuales.</t>
        </is>
      </c>
      <c r="E11" s="14" t="n">
        <v>5</v>
      </c>
      <c r="F11" s="14" t="n">
        <v>4</v>
      </c>
      <c r="G11" s="15" t="inlineStr">
        <is>
          <t>Interfaz intuitiva; mejoras pendientes de accesibilidad.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8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FIABILIDAD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FIAB_MADU_01</t>
        </is>
      </c>
      <c r="C6" s="12" t="inlineStr">
        <is>
          <t>Madurez</t>
        </is>
      </c>
      <c r="D6" s="13" t="inlineStr">
        <is>
          <t>El sistema opera de forma continua en producción sin presentar caídas imprevistas durante la última semana.</t>
        </is>
      </c>
      <c r="E6" s="14" t="n">
        <v>5</v>
      </c>
      <c r="F6" s="14" t="n">
        <v>4</v>
      </c>
      <c r="G6" s="15" t="inlineStr">
        <is>
          <t>Validaciones en backend y BD; faltan pruebas automatizadas.</t>
        </is>
      </c>
    </row>
    <row r="7">
      <c r="B7" s="11" t="inlineStr">
        <is>
          <t>FIAB_DISP_01</t>
        </is>
      </c>
      <c r="C7" s="12" t="inlineStr">
        <is>
          <t>Disponibilidad</t>
        </is>
      </c>
      <c r="D7" s="13" t="inlineStr">
        <is>
          <t>La plataforma está operativa y accesible para los usuarios el 99.9% del tiempo contratado en el mes.</t>
        </is>
      </c>
      <c r="E7" s="14" t="n">
        <v>5</v>
      </c>
      <c r="F7" s="14" t="n">
        <v>4</v>
      </c>
      <c r="G7" s="15" t="inlineStr">
        <is>
          <t>Validaciones en backend y BD; faltan pruebas automatizadas.</t>
        </is>
      </c>
    </row>
    <row r="8">
      <c r="B8" s="11" t="inlineStr">
        <is>
          <t>FIAB_TOLE_01</t>
        </is>
      </c>
      <c r="C8" s="12" t="inlineStr">
        <is>
          <t>Tolerancia a fallos</t>
        </is>
      </c>
      <c r="D8" s="13" t="inlineStr">
        <is>
          <t>Si la conexión con la base de datos principal falla, el sistema conmuta automáticamente a la réplica de lectura.</t>
        </is>
      </c>
      <c r="E8" s="14" t="n">
        <v>5</v>
      </c>
      <c r="F8" s="14" t="n">
        <v>4</v>
      </c>
      <c r="G8" s="15" t="inlineStr">
        <is>
          <t>Validaciones en backend y BD; faltan pruebas automatizadas.</t>
        </is>
      </c>
    </row>
    <row r="9">
      <c r="B9" s="11" t="inlineStr">
        <is>
          <t>FIAB_RECU_01</t>
        </is>
      </c>
      <c r="C9" s="12" t="inlineStr">
        <is>
          <t>Capacidad de recuperación</t>
        </is>
      </c>
      <c r="D9" s="13" t="inlineStr">
        <is>
          <t>Tras un corte de energía, el sistema restaura el estado de los datos al último punto de control guardado.</t>
        </is>
      </c>
      <c r="E9" s="14" t="n">
        <v>5</v>
      </c>
      <c r="F9" s="14" t="n">
        <v>4</v>
      </c>
      <c r="G9" s="15" t="inlineStr">
        <is>
          <t>Validaciones en backend y BD; faltan pruebas automatizadas.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SEGURIDAD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SEGU_CONF_01</t>
        </is>
      </c>
      <c r="C6" s="12" t="inlineStr">
        <is>
          <t>Confidencialidad</t>
        </is>
      </c>
      <c r="D6" s="13" t="inlineStr">
        <is>
          <t>Las contraseñas de los usuarios están encriptadas con un algoritmo robusto (ej. bcrypt) en la base de datos.</t>
        </is>
      </c>
      <c r="E6" s="14" t="n">
        <v>5</v>
      </c>
      <c r="F6" s="14" t="n">
        <v>4</v>
      </c>
      <c r="G6" s="15" t="inlineStr">
        <is>
          <t>Laravel Sanctum, roles, middleware y contraseñas cifradas.</t>
        </is>
      </c>
    </row>
    <row r="7">
      <c r="B7" s="11" t="inlineStr">
        <is>
          <t>SEGU_INTE_01</t>
        </is>
      </c>
      <c r="C7" s="12" t="inlineStr">
        <is>
          <t>Integridad</t>
        </is>
      </c>
      <c r="D7" s="13" t="inlineStr">
        <is>
          <t>El sistema evita modificaciones no autorizadas en los datos mediante validaciones en el servidor (backend).</t>
        </is>
      </c>
      <c r="E7" s="14" t="n">
        <v>5</v>
      </c>
      <c r="F7" s="14" t="n">
        <v>4</v>
      </c>
      <c r="G7" s="15" t="inlineStr">
        <is>
          <t>Laravel Sanctum, roles, middleware y contraseñas cifradas.</t>
        </is>
      </c>
    </row>
    <row r="8">
      <c r="B8" s="11" t="inlineStr">
        <is>
          <t>SEGU_NORE_01</t>
        </is>
      </c>
      <c r="C8" s="12" t="inlineStr">
        <is>
          <t>No repudio</t>
        </is>
      </c>
      <c r="D8" s="13" t="inlineStr">
        <is>
          <t>Cada transacción financiera registra de forma inalterable el ID del usuario, fecha y hora en el log de auditoría.</t>
        </is>
      </c>
      <c r="E8" s="14" t="n">
        <v>5</v>
      </c>
      <c r="F8" s="14" t="n">
        <v>4</v>
      </c>
      <c r="G8" s="15" t="inlineStr">
        <is>
          <t>Laravel Sanctum, roles, middleware y contraseñas cifradas.</t>
        </is>
      </c>
    </row>
    <row r="9">
      <c r="B9" s="11" t="inlineStr">
        <is>
          <t>SEGU_RESP_01</t>
        </is>
      </c>
      <c r="C9" s="12" t="inlineStr">
        <is>
          <t>Responsabilidad</t>
        </is>
      </c>
      <c r="D9" s="13" t="inlineStr">
        <is>
          <t>El sistema registra de manera clara qué acciones ejecutó cada administrador para poder auditar incidentes.</t>
        </is>
      </c>
      <c r="E9" s="14" t="n">
        <v>5</v>
      </c>
      <c r="F9" s="14" t="n">
        <v>4</v>
      </c>
      <c r="G9" s="15" t="inlineStr">
        <is>
          <t>Laravel Sanctum, roles, middleware y contraseñas cifradas.</t>
        </is>
      </c>
    </row>
    <row r="10">
      <c r="B10" s="11" t="inlineStr">
        <is>
          <t>SEGU_AUTE_01</t>
        </is>
      </c>
      <c r="C10" s="12" t="inlineStr">
        <is>
          <t>Autenticidad</t>
        </is>
      </c>
      <c r="D10" s="13" t="inlineStr">
        <is>
          <t>El sistema valida tokens digitales (JWT) firmados para confirmar que las peticiones provienen de usuarios válidos.</t>
        </is>
      </c>
      <c r="E10" s="14" t="n">
        <v>5</v>
      </c>
      <c r="F10" s="14" t="n">
        <v>4</v>
      </c>
      <c r="G10" s="15" t="inlineStr">
        <is>
          <t>Laravel Sanctum, roles, middleware y contraseñas cifradas.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2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MANTENIBILIDAD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MANT_MODU_01</t>
        </is>
      </c>
      <c r="C6" s="12" t="inlineStr">
        <is>
          <t>Modularidad</t>
        </is>
      </c>
      <c r="D6" s="13" t="inlineStr">
        <is>
          <t>Un cambio en el módulo de facturación no afecta ni altera el funcionamiento del módulo de inventarios.</t>
        </is>
      </c>
      <c r="E6" s="14" t="n">
        <v>5</v>
      </c>
      <c r="F6" s="14" t="n">
        <v>4</v>
      </c>
      <c r="G6" s="15" t="inlineStr">
        <is>
          <t>Arquitectura MVC y API desacoplada facilitan el mantenimiento.</t>
        </is>
      </c>
    </row>
    <row r="7">
      <c r="B7" s="11" t="inlineStr">
        <is>
          <t>MANT_REUS_01</t>
        </is>
      </c>
      <c r="C7" s="12" t="inlineStr">
        <is>
          <t>Reusabilidad</t>
        </is>
      </c>
      <c r="D7" s="13" t="inlineStr">
        <is>
          <t>El componente visual de calendario se utiliza en múltiples formularios del sistema sin duplicar código.</t>
        </is>
      </c>
      <c r="E7" s="14" t="n">
        <v>5</v>
      </c>
      <c r="F7" s="14" t="n">
        <v>4</v>
      </c>
      <c r="G7" s="15" t="inlineStr">
        <is>
          <t>Arquitectura MVC y API desacoplada facilitan el mantenimiento.</t>
        </is>
      </c>
    </row>
    <row r="8">
      <c r="B8" s="11" t="inlineStr">
        <is>
          <t>MANT_ANAL_01</t>
        </is>
      </c>
      <c r="C8" s="12" t="inlineStr">
        <is>
          <t>Analizabilidad</t>
        </is>
      </c>
      <c r="D8" s="13" t="inlineStr">
        <is>
          <t>Los logs de error detallan la línea de código y el archivo exacto donde ocurrió una excepción para su diagnóstico.</t>
        </is>
      </c>
      <c r="E8" s="14" t="n">
        <v>5</v>
      </c>
      <c r="F8" s="14" t="n">
        <v>4</v>
      </c>
      <c r="G8" s="15" t="inlineStr">
        <is>
          <t>Arquitectura MVC y API desacoplada facilitan el mantenimiento.</t>
        </is>
      </c>
    </row>
    <row r="9">
      <c r="B9" s="11" t="inlineStr">
        <is>
          <t>MANT_MODI_01</t>
        </is>
      </c>
      <c r="C9" s="12" t="inlineStr">
        <is>
          <t>Modificabilidad</t>
        </is>
      </c>
      <c r="D9" s="13" t="inlineStr">
        <is>
          <t>Agregar un nuevo campo al formulario de registro requiere modificaciones mínimas en la base de datos y backend.</t>
        </is>
      </c>
      <c r="E9" s="14" t="n">
        <v>5</v>
      </c>
      <c r="F9" s="14" t="n">
        <v>4</v>
      </c>
      <c r="G9" s="15" t="inlineStr">
        <is>
          <t>Arquitectura MVC y API desacoplada facilitan el mantenimiento.</t>
        </is>
      </c>
    </row>
    <row r="10">
      <c r="B10" s="11" t="inlineStr">
        <is>
          <t>MANT_PRUE_01</t>
        </is>
      </c>
      <c r="C10" s="12" t="inlineStr">
        <is>
          <t>Capacidad de prueba</t>
        </is>
      </c>
      <c r="D10" s="13" t="inlineStr">
        <is>
          <t>El código fuente cuenta con pruebas unitarias automatizadas que cubren al menos el 80% de las funciones.</t>
        </is>
      </c>
      <c r="E10" s="14" t="n">
        <v>5</v>
      </c>
      <c r="F10" s="14" t="n">
        <v>4</v>
      </c>
      <c r="G10" s="15" t="inlineStr">
        <is>
          <t>Arquitectura MVC y API desacoplada facilitan el mantenimiento.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7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1"/>
    <row r="2">
      <c r="B2" s="1" t="inlineStr">
        <is>
          <t>MATRIZ DE EVALUACIÓN: PORTABILIDAD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PORT_ADAP_01</t>
        </is>
      </c>
      <c r="C6" s="12" t="inlineStr">
        <is>
          <t>Adaptabilidad</t>
        </is>
      </c>
      <c r="D6" s="13" t="inlineStr">
        <is>
          <t>La aplicación web se adapta y visualiza correctamente en pantallas de laptops, tablets y smartphones.</t>
        </is>
      </c>
      <c r="E6" s="14" t="n">
        <v>5</v>
      </c>
      <c r="F6" s="14" t="n">
        <v>4</v>
      </c>
      <c r="G6" s="15" t="inlineStr">
        <is>
          <t>Sistema ejecutable en web y móvil usando la misma API.</t>
        </is>
      </c>
    </row>
    <row r="7">
      <c r="B7" s="11" t="inlineStr">
        <is>
          <t>PORT_INST_01</t>
        </is>
      </c>
      <c r="C7" s="12" t="inlineStr">
        <is>
          <t>Facilidad de instalación</t>
        </is>
      </c>
      <c r="D7" s="13" t="inlineStr">
        <is>
          <t>El sistema se puede desplegar en un servidor nuevo en menos de una hora usando contenedores Docker.</t>
        </is>
      </c>
      <c r="E7" s="14" t="n">
        <v>5</v>
      </c>
      <c r="F7" s="14" t="n">
        <v>4</v>
      </c>
      <c r="G7" s="15" t="inlineStr">
        <is>
          <t>Sistema ejecutable en web y móvil usando la misma API.</t>
        </is>
      </c>
    </row>
    <row r="8">
      <c r="B8" s="11" t="inlineStr">
        <is>
          <t>PORT_SUST_01</t>
        </is>
      </c>
      <c r="C8" s="12" t="inlineStr">
        <is>
          <t>Facilidad de sustitución</t>
        </is>
      </c>
      <c r="D8" s="13" t="inlineStr">
        <is>
          <t>La aplicación puede reemplazar al software anterior importando de forma directa la base de datos vieja.</t>
        </is>
      </c>
      <c r="E8" s="14" t="n">
        <v>5</v>
      </c>
      <c r="F8" s="14" t="n">
        <v>4</v>
      </c>
      <c r="G8" s="15" t="inlineStr">
        <is>
          <t>Sistema ejecutable en web y móvil usando la misma API.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60" customWidth="1" min="2" max="2"/>
    <col width="60" customWidth="1" min="3" max="3"/>
    <col width="29" customWidth="1" min="4" max="4"/>
    <col width="40" customWidth="1" min="5" max="5"/>
  </cols>
  <sheetData>
    <row r="1"/>
    <row r="2">
      <c r="B2" s="1" t="inlineStr">
        <is>
          <t>BANCO DE PREGUNTAS PARA APRENDICES</t>
        </is>
      </c>
    </row>
    <row r="3">
      <c r="B3" s="2" t="inlineStr">
        <is>
          <t>Cuestionario guía para auditorías de calidad de software basadas en ISO 25010.</t>
        </is>
      </c>
    </row>
    <row r="4"/>
    <row r="5">
      <c r="B5" s="10" t="inlineStr">
        <is>
          <t>N°</t>
        </is>
      </c>
      <c r="C5" s="10" t="inlineStr">
        <is>
          <t>Pregunta de Evaluación</t>
        </is>
      </c>
      <c r="D5" s="10" t="inlineStr">
        <is>
          <t>Característica Asociada</t>
        </is>
      </c>
      <c r="E5" s="10" t="inlineStr">
        <is>
          <t>Subcaracterística Asociada</t>
        </is>
      </c>
    </row>
    <row r="6">
      <c r="B6" s="5" t="n">
        <v>1</v>
      </c>
      <c r="C6" s="11" t="inlineStr">
        <is>
          <t>¿El sistema incluye todas las funciones especificadas en los requisitos iniciales?</t>
        </is>
      </c>
      <c r="D6" s="12" t="inlineStr">
        <is>
          <t>Adecuación Funcional</t>
        </is>
      </c>
      <c r="E6" s="11" t="inlineStr">
        <is>
          <t>Completo funcional</t>
        </is>
      </c>
    </row>
    <row r="7">
      <c r="B7" s="5" t="n">
        <v>2</v>
      </c>
      <c r="C7" s="11" t="inlineStr">
        <is>
          <t>¿El software arroja resultados matemáticos correctos en los reportes contables?</t>
        </is>
      </c>
      <c r="D7" s="12" t="inlineStr">
        <is>
          <t>Adecuación Funcional</t>
        </is>
      </c>
      <c r="E7" s="11" t="inlineStr">
        <is>
          <t>Corrección funcional</t>
        </is>
      </c>
    </row>
    <row r="8">
      <c r="B8" s="5" t="n">
        <v>3</v>
      </c>
      <c r="C8" s="11" t="inlineStr">
        <is>
          <t>¿Las opciones visibles ayudan directamente al usuario a cumplir sus metas de negocio?</t>
        </is>
      </c>
      <c r="D8" s="12" t="inlineStr">
        <is>
          <t>Adecuación Funcional</t>
        </is>
      </c>
      <c r="E8" s="11" t="inlineStr">
        <is>
          <t>Pertinencia funcional</t>
        </is>
      </c>
    </row>
    <row r="9">
      <c r="B9" s="5" t="n">
        <v>4</v>
      </c>
      <c r="C9" s="11" t="inlineStr">
        <is>
          <t>¿La búsqueda de productos tarda menos de un segundo en mostrar resultados?</t>
        </is>
      </c>
      <c r="D9" s="12" t="inlineStr">
        <is>
          <t>Eficiencia de Rendimiento</t>
        </is>
      </c>
      <c r="E9" s="11" t="inlineStr">
        <is>
          <t>Comportamiento temporal</t>
        </is>
      </c>
    </row>
    <row r="10">
      <c r="B10" s="5" t="n">
        <v>5</v>
      </c>
      <c r="C10" s="11" t="inlineStr">
        <is>
          <t>¿El sistema libera la memoria RAM después de cerrar un reporte complejo?</t>
        </is>
      </c>
      <c r="D10" s="12" t="inlineStr">
        <is>
          <t>Eficiencia de Rendimiento</t>
        </is>
      </c>
      <c r="E10" s="11" t="inlineStr">
        <is>
          <t>Utilización de recursos</t>
        </is>
      </c>
    </row>
    <row r="11">
      <c r="B11" s="5" t="n">
        <v>6</v>
      </c>
      <c r="C11" s="11" t="inlineStr">
        <is>
          <t>¿Soporta el aumento repentino de usuarios en fechas de alta demanda (Black Friday)?</t>
        </is>
      </c>
      <c r="D11" s="12" t="inlineStr">
        <is>
          <t>Eficiencia de Rendimiento</t>
        </is>
      </c>
      <c r="E11" s="11" t="inlineStr">
        <is>
          <t>Capacidad</t>
        </is>
      </c>
    </row>
    <row r="12">
      <c r="B12" s="5" t="n">
        <v>7</v>
      </c>
      <c r="C12" s="11" t="inlineStr">
        <is>
          <t>¿Puede ejecutarse al mismo tiempo que el antivirus sin ralentizar el equipo?</t>
        </is>
      </c>
      <c r="D12" s="12" t="inlineStr">
        <is>
          <t>Compatibilidad</t>
        </is>
      </c>
      <c r="E12" s="11" t="inlineStr">
        <is>
          <t>Coexistencia</t>
        </is>
      </c>
    </row>
    <row r="13">
      <c r="B13" s="5" t="n">
        <v>8</v>
      </c>
      <c r="C13" s="11" t="inlineStr">
        <is>
          <t>¿Los datos exportados en Excel se abren correctamente en otras suites de oficina?</t>
        </is>
      </c>
      <c r="D13" s="12" t="inlineStr">
        <is>
          <t>Compatibilidad</t>
        </is>
      </c>
      <c r="E13" s="11" t="inlineStr">
        <is>
          <t>Interoperabilidad</t>
        </is>
      </c>
    </row>
    <row r="14">
      <c r="B14" s="5" t="n">
        <v>9</v>
      </c>
      <c r="C14" s="11" t="inlineStr">
        <is>
          <t>¿Los iconos utilizados representan claramente la acción que van a realizar?</t>
        </is>
      </c>
      <c r="D14" s="12" t="inlineStr">
        <is>
          <t>Usabilidad</t>
        </is>
      </c>
      <c r="E14" s="11" t="inlineStr">
        <is>
          <t>Reconocimiento de adecuación</t>
        </is>
      </c>
    </row>
    <row r="15">
      <c r="B15" s="5" t="n">
        <v>10</v>
      </c>
      <c r="C15" s="11" t="inlineStr">
        <is>
          <t>¿Los mensajes de bienvenida guían intuitivamente al usuario nuevo?</t>
        </is>
      </c>
      <c r="D15" s="12" t="inlineStr">
        <is>
          <t>Usabilidad</t>
        </is>
      </c>
      <c r="E15" s="11" t="inlineStr">
        <is>
          <t>Aprendizaje</t>
        </is>
      </c>
    </row>
    <row r="16">
      <c r="B16" s="5" t="n">
        <v>11</v>
      </c>
      <c r="C16" s="11" t="inlineStr">
        <is>
          <t>¿Es fácil navegar por el sitio utilizando únicamente el teclado?</t>
        </is>
      </c>
      <c r="D16" s="12" t="inlineStr">
        <is>
          <t>Usabilidad</t>
        </is>
      </c>
      <c r="E16" s="11" t="inlineStr">
        <is>
          <t>Operabilidad</t>
        </is>
      </c>
    </row>
    <row r="17">
      <c r="B17" s="5" t="n">
        <v>12</v>
      </c>
      <c r="C17" s="11" t="inlineStr">
        <is>
          <t>¿El sistema previene que se envíe un formulario vacío resaltando los campos?</t>
        </is>
      </c>
      <c r="D17" s="12" t="inlineStr">
        <is>
          <t>Usabilidad</t>
        </is>
      </c>
      <c r="E17" s="11" t="inlineStr">
        <is>
          <t>Protección contra errores de usuario</t>
        </is>
      </c>
    </row>
    <row r="18">
      <c r="B18" s="5" t="n">
        <v>13</v>
      </c>
      <c r="C18" s="11" t="inlineStr">
        <is>
          <t>¿El tamaño de la fuente y los contrastes cumplen con normas de diseño limpio?</t>
        </is>
      </c>
      <c r="D18" s="12" t="inlineStr">
        <is>
          <t>Usabilidad</t>
        </is>
      </c>
      <c r="E18" s="11" t="inlineStr">
        <is>
          <t>Estética de la interfaz de usuario</t>
        </is>
      </c>
    </row>
    <row r="19">
      <c r="B19" s="5" t="n">
        <v>14</v>
      </c>
      <c r="C19" s="11" t="inlineStr">
        <is>
          <t>¿Tiene la opción de activar subtítulos o descripciones de audio para videos integrados?</t>
        </is>
      </c>
      <c r="D19" s="12" t="inlineStr">
        <is>
          <t>Usabilidad</t>
        </is>
      </c>
      <c r="E19" s="11" t="inlineStr">
        <is>
          <t>Accesibilidad</t>
        </is>
      </c>
    </row>
    <row r="20">
      <c r="B20" s="5" t="n">
        <v>15</v>
      </c>
      <c r="C20" s="11" t="inlineStr">
        <is>
          <t>¿El software funciona sin colgarse durante jornadas laborales de 8 horas consecutivas?</t>
        </is>
      </c>
      <c r="D20" s="12" t="inlineStr">
        <is>
          <t>Fiabilidad</t>
        </is>
      </c>
      <c r="E20" s="11" t="inlineStr">
        <is>
          <t>Madurez</t>
        </is>
      </c>
    </row>
    <row r="21">
      <c r="B21" s="5" t="n">
        <v>16</v>
      </c>
      <c r="C21" s="11" t="inlineStr">
        <is>
          <t>¿Existe un canal alterno de acceso si el servidor principal falla?</t>
        </is>
      </c>
      <c r="D21" s="12" t="inlineStr">
        <is>
          <t>Fiabilidad</t>
        </is>
      </c>
      <c r="E21" s="11" t="inlineStr">
        <is>
          <t>Disponibilidad</t>
        </is>
      </c>
    </row>
    <row r="22">
      <c r="B22" s="5" t="n">
        <v>17</v>
      </c>
      <c r="C22" s="11" t="inlineStr">
        <is>
          <t>¿El sistema sigue funcionando si se desconecta momentáneamente la red de internet?</t>
        </is>
      </c>
      <c r="D22" s="12" t="inlineStr">
        <is>
          <t>Fiabilidad</t>
        </is>
      </c>
      <c r="E22" s="11" t="inlineStr">
        <is>
          <t>Tolerancia a fallos</t>
        </is>
      </c>
    </row>
    <row r="23">
      <c r="B23" s="5" t="n">
        <v>18</v>
      </c>
      <c r="C23" s="11" t="inlineStr">
        <is>
          <t>¿Cuánto tiempo tarda el sistema en volver a estar en línea tras reiniciar el servidor?</t>
        </is>
      </c>
      <c r="D23" s="12" t="inlineStr">
        <is>
          <t>Fiabilidad</t>
        </is>
      </c>
      <c r="E23" s="11" t="inlineStr">
        <is>
          <t>Capacidad de recuperación</t>
        </is>
      </c>
    </row>
    <row r="24">
      <c r="B24" s="5" t="n">
        <v>19</v>
      </c>
      <c r="C24" s="11" t="inlineStr">
        <is>
          <t>¿La sesión de usuario expira automáticamente tras 15 minutos de inactividad?</t>
        </is>
      </c>
      <c r="D24" s="12" t="inlineStr">
        <is>
          <t>Seguridad</t>
        </is>
      </c>
      <c r="E24" s="11" t="inlineStr">
        <is>
          <t>Confidencialidad</t>
        </is>
      </c>
    </row>
    <row r="25">
      <c r="B25" s="5" t="n">
        <v>20</v>
      </c>
      <c r="C25" s="11" t="inlineStr">
        <is>
          <t>¿Se bloquea la edición de campos históricos una vez cerrado el mes contable?</t>
        </is>
      </c>
      <c r="D25" s="12" t="inlineStr">
        <is>
          <t>Seguridad</t>
        </is>
      </c>
      <c r="E25" s="11" t="inlineStr">
        <is>
          <t>Integridad</t>
        </is>
      </c>
    </row>
    <row r="26">
      <c r="B26" s="5" t="n">
        <v>21</v>
      </c>
      <c r="C26" s="11" t="inlineStr">
        <is>
          <t>¿Se puede demostrar legalmente qué usuario aprobó un presupuesto?</t>
        </is>
      </c>
      <c r="D26" s="12" t="inlineStr">
        <is>
          <t>Seguridad</t>
        </is>
      </c>
      <c r="E26" s="11" t="inlineStr">
        <is>
          <t>No repudio</t>
        </is>
      </c>
    </row>
    <row r="27">
      <c r="B27" s="5" t="n">
        <v>22</v>
      </c>
      <c r="C27" s="11" t="inlineStr">
        <is>
          <t>¿El sistema permite rastrear los intentos fallidos de inicio de sesión por dirección IP?</t>
        </is>
      </c>
      <c r="D27" s="12" t="inlineStr">
        <is>
          <t>Seguridad</t>
        </is>
      </c>
      <c r="E27" s="11" t="inlineStr">
        <is>
          <t>Responsabilidad</t>
        </is>
      </c>
    </row>
    <row r="28">
      <c r="B28" s="5" t="n">
        <v>23</v>
      </c>
      <c r="C28" s="11" t="inlineStr">
        <is>
          <t>¿La plataforma exige el uso de autenticación de dos factores (2FA)?</t>
        </is>
      </c>
      <c r="D28" s="12" t="inlineStr">
        <is>
          <t>Seguridad</t>
        </is>
      </c>
      <c r="E28" s="11" t="inlineStr">
        <is>
          <t>Autenticidad</t>
        </is>
      </c>
    </row>
    <row r="29">
      <c r="B29" s="5" t="n">
        <v>24</v>
      </c>
      <c r="C29" s="11" t="inlineStr">
        <is>
          <t>¿El código fuente está dividido en capas (Controlador, Servicio, Repositorio)?</t>
        </is>
      </c>
      <c r="D29" s="12" t="inlineStr">
        <is>
          <t>Mantenibilidad</t>
        </is>
      </c>
      <c r="E29" s="11" t="inlineStr">
        <is>
          <t>Modularidad</t>
        </is>
      </c>
    </row>
    <row r="30">
      <c r="B30" s="5" t="n">
        <v>25</v>
      </c>
      <c r="C30" s="11" t="inlineStr">
        <is>
          <t>¿Las funciones de formato de fechas se encuentran centralizadas en una sola librería?</t>
        </is>
      </c>
      <c r="D30" s="12" t="inlineStr">
        <is>
          <t>Mantenibilidad</t>
        </is>
      </c>
      <c r="E30" s="11" t="inlineStr">
        <is>
          <t>Reusabilidad</t>
        </is>
      </c>
    </row>
    <row r="31">
      <c r="B31" s="5" t="n">
        <v>26</v>
      </c>
      <c r="C31" s="11" t="inlineStr">
        <is>
          <t>¿Se generan archivos log diarios estructurados con niveles (INFO, WARN, ERROR)?</t>
        </is>
      </c>
      <c r="D31" s="12" t="inlineStr">
        <is>
          <t>Mantenibilidad</t>
        </is>
      </c>
      <c r="E31" s="11" t="inlineStr">
        <is>
          <t>Analizabilidad</t>
        </is>
      </c>
    </row>
    <row r="32">
      <c r="B32" s="5" t="n">
        <v>27</v>
      </c>
      <c r="C32" s="11" t="inlineStr">
        <is>
          <t>¿El sistema permite cambiar el proveedor de base de datos sin reescribir todo el código?</t>
        </is>
      </c>
      <c r="D32" s="12" t="inlineStr">
        <is>
          <t>Mantenibilidad</t>
        </is>
      </c>
      <c r="E32" s="11" t="inlineStr">
        <is>
          <t>Modificabilidad</t>
        </is>
      </c>
    </row>
    <row r="33">
      <c r="B33" s="5" t="n">
        <v>28</v>
      </c>
      <c r="C33" s="11" t="inlineStr">
        <is>
          <t>¿Se pueden ejecutar las pruebas del sistema de forma automática en un pipeline de CI/CD?</t>
        </is>
      </c>
      <c r="D33" s="12" t="inlineStr">
        <is>
          <t>Mantenibilidad</t>
        </is>
      </c>
      <c r="E33" s="11" t="inlineStr">
        <is>
          <t>Capacidad de prueba</t>
        </is>
      </c>
    </row>
    <row r="34">
      <c r="B34" s="5" t="n">
        <v>29</v>
      </c>
      <c r="C34" s="11" t="inlineStr">
        <is>
          <t>¿La aplicación se ejecuta de igual forma en sistemas operativos Windows, Linux y macOS?</t>
        </is>
      </c>
      <c r="D34" s="12" t="inlineStr">
        <is>
          <t>Portabilidad</t>
        </is>
      </c>
      <c r="E34" s="11" t="inlineStr">
        <is>
          <t>Adaptabilidad</t>
        </is>
      </c>
    </row>
    <row r="35">
      <c r="B35" s="5" t="n">
        <v>30</v>
      </c>
      <c r="C35" s="11" t="inlineStr">
        <is>
          <t>¿El instalador configura automáticamente las dependencias necesarias?</t>
        </is>
      </c>
      <c r="D35" s="12" t="inlineStr">
        <is>
          <t>Portabilidad</t>
        </is>
      </c>
      <c r="E35" s="11" t="inlineStr">
        <is>
          <t>Facilidad de instalación</t>
        </is>
      </c>
    </row>
    <row r="36">
      <c r="B36" s="5" t="n">
        <v>31</v>
      </c>
      <c r="C36" s="11" t="inlineStr">
        <is>
          <t>¿Es posible migrar los datos al nuevo sistema sin pérdida de información histórica?</t>
        </is>
      </c>
      <c r="D36" s="12" t="inlineStr">
        <is>
          <t>Portabilidad</t>
        </is>
      </c>
      <c r="E36" s="11" t="inlineStr">
        <is>
          <t>Facilidad de sustitución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2026-07-29T16:11:02Z</dcterms:created>
  <dcterms:modified xmlns:dcterms="http://purl.org/dc/terms/" xmlns:xsi="http://www.w3.org/2001/XMLSchema-instance" xsi:type="dcterms:W3CDTF">2026-07-30T16:49:48Z</dcterms:modified>
</cp:coreProperties>
</file>